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1efd661f0820df/Escritorio/Astrid Florido/"/>
    </mc:Choice>
  </mc:AlternateContent>
  <xr:revisionPtr revIDLastSave="3" documentId="8_{EE75B7C5-E200-4188-B212-A311B1F1F7D6}" xr6:coauthVersionLast="47" xr6:coauthVersionMax="47" xr10:uidLastSave="{86A04D9A-2EEF-4F8F-B7D4-AA4EC8255F8F}"/>
  <bookViews>
    <workbookView xWindow="9600" yWindow="255" windowWidth="28800" windowHeight="11295" activeTab="1" xr2:uid="{BE8A5FFF-007D-4BF0-A4B2-A89778ECF6AC}"/>
  </bookViews>
  <sheets>
    <sheet name="Datos" sheetId="1" r:id="rId1"/>
    <sheet name="Triangul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2" l="1"/>
  <c r="F32" i="2"/>
  <c r="G32" i="2" s="1"/>
  <c r="C18" i="2"/>
  <c r="D18" i="2" s="1"/>
  <c r="E18" i="2" s="1"/>
  <c r="F18" i="2" s="1"/>
  <c r="G18" i="2" s="1"/>
  <c r="H18" i="2" s="1"/>
  <c r="I18" i="2" s="1"/>
  <c r="J18" i="2" s="1"/>
  <c r="K18" i="2" s="1"/>
  <c r="E33" i="2" s="1"/>
  <c r="C19" i="2"/>
  <c r="D19" i="2" s="1"/>
  <c r="E19" i="2" s="1"/>
  <c r="F19" i="2" s="1"/>
  <c r="G19" i="2" s="1"/>
  <c r="H19" i="2" s="1"/>
  <c r="I19" i="2" s="1"/>
  <c r="J19" i="2" s="1"/>
  <c r="E34" i="2" s="1"/>
  <c r="C20" i="2"/>
  <c r="D20" i="2" s="1"/>
  <c r="E20" i="2" s="1"/>
  <c r="F20" i="2" s="1"/>
  <c r="G20" i="2" s="1"/>
  <c r="H20" i="2" s="1"/>
  <c r="I20" i="2" s="1"/>
  <c r="E35" i="2" s="1"/>
  <c r="C21" i="2"/>
  <c r="D21" i="2" s="1"/>
  <c r="E21" i="2" s="1"/>
  <c r="F21" i="2" s="1"/>
  <c r="G21" i="2" s="1"/>
  <c r="H21" i="2" s="1"/>
  <c r="E36" i="2" s="1"/>
  <c r="C22" i="2"/>
  <c r="D22" i="2" s="1"/>
  <c r="E22" i="2" s="1"/>
  <c r="F22" i="2" s="1"/>
  <c r="G22" i="2" s="1"/>
  <c r="E37" i="2" s="1"/>
  <c r="C23" i="2"/>
  <c r="D23" i="2" s="1"/>
  <c r="E23" i="2" s="1"/>
  <c r="F23" i="2" s="1"/>
  <c r="E38" i="2" s="1"/>
  <c r="C24" i="2"/>
  <c r="D24" i="2" s="1"/>
  <c r="E24" i="2" s="1"/>
  <c r="E39" i="2" s="1"/>
  <c r="C25" i="2"/>
  <c r="D25" i="2" s="1"/>
  <c r="C26" i="2"/>
  <c r="E41" i="2" s="1"/>
  <c r="C17" i="2"/>
  <c r="D17" i="2" s="1"/>
  <c r="E17" i="2" s="1"/>
  <c r="F17" i="2" s="1"/>
  <c r="G17" i="2" s="1"/>
  <c r="H17" i="2" s="1"/>
  <c r="I17" i="2" s="1"/>
  <c r="J17" i="2" s="1"/>
  <c r="K17" i="2" s="1"/>
  <c r="L17" i="2" s="1"/>
  <c r="E32" i="2" s="1"/>
  <c r="H32" i="2" l="1"/>
  <c r="I32" i="2" s="1"/>
  <c r="E40" i="2"/>
  <c r="H28" i="2"/>
  <c r="I28" i="2"/>
  <c r="J28" i="2"/>
  <c r="K28" i="2"/>
  <c r="C28" i="2"/>
  <c r="D28" i="2"/>
  <c r="F40" i="2" s="1"/>
  <c r="E28" i="2"/>
  <c r="F39" i="2" s="1"/>
  <c r="F28" i="2"/>
  <c r="F38" i="2" s="1"/>
  <c r="G28" i="2"/>
  <c r="F37" i="2" s="1"/>
  <c r="F33" i="2" l="1"/>
  <c r="G33" i="2" s="1"/>
  <c r="K29" i="2"/>
  <c r="J29" i="2"/>
  <c r="I29" i="2" s="1"/>
  <c r="H29" i="2" s="1"/>
  <c r="G29" i="2" s="1"/>
  <c r="F29" i="2" s="1"/>
  <c r="E29" i="2" s="1"/>
  <c r="D29" i="2" s="1"/>
  <c r="C29" i="2" s="1"/>
  <c r="F36" i="2"/>
  <c r="F34" i="2"/>
  <c r="G34" i="2"/>
  <c r="H34" i="2" s="1"/>
  <c r="I34" i="2" s="1"/>
  <c r="F41" i="2"/>
  <c r="F35" i="2"/>
  <c r="H33" i="2"/>
  <c r="I33" i="2" s="1"/>
  <c r="G35" i="2" l="1"/>
  <c r="G36" i="2" s="1"/>
  <c r="H35" i="2" l="1"/>
  <c r="I35" i="2" s="1"/>
  <c r="G37" i="2"/>
  <c r="H36" i="2"/>
  <c r="I36" i="2" s="1"/>
  <c r="G38" i="2" l="1"/>
  <c r="H37" i="2"/>
  <c r="I37" i="2" s="1"/>
  <c r="G39" i="2" l="1"/>
  <c r="H38" i="2"/>
  <c r="I38" i="2" s="1"/>
  <c r="G40" i="2" l="1"/>
  <c r="H39" i="2"/>
  <c r="I39" i="2" s="1"/>
  <c r="G41" i="2" l="1"/>
  <c r="H41" i="2" s="1"/>
  <c r="I41" i="2" s="1"/>
  <c r="H40" i="2"/>
  <c r="I40" i="2" s="1"/>
</calcChain>
</file>

<file path=xl/sharedStrings.xml><?xml version="1.0" encoding="utf-8"?>
<sst xmlns="http://schemas.openxmlformats.org/spreadsheetml/2006/main" count="12" uniqueCount="12">
  <si>
    <t>AÑO_OCURRENCIA</t>
  </si>
  <si>
    <t>AÑO_PAGO</t>
  </si>
  <si>
    <t>MONTO_PAGADO</t>
  </si>
  <si>
    <t>Conocidos</t>
  </si>
  <si>
    <t>Factores</t>
  </si>
  <si>
    <t>factor total</t>
  </si>
  <si>
    <t>Ultimate</t>
  </si>
  <si>
    <t>IBNR</t>
  </si>
  <si>
    <t>TRIANGULO DE MONTOS</t>
  </si>
  <si>
    <t>TRIANGULO DE MONTOS ACUMULADO</t>
  </si>
  <si>
    <t>Factor</t>
  </si>
  <si>
    <t>Factor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</si>
</sst>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0" fontId="0" fillId="2" borderId="0" xfId="0" applyFill="1"/>
    <xf numFmtId="165" fontId="0" fillId="0" borderId="0" xfId="1" applyNumberFormat="1" applyFont="1"/>
    <xf numFmtId="165" fontId="0" fillId="2" borderId="0" xfId="1" applyNumberFormat="1" applyFont="1" applyFill="1"/>
    <xf numFmtId="0" fontId="2" fillId="0" borderId="0" xfId="0" applyFont="1" applyAlignment="1">
      <alignment horizontal="center"/>
    </xf>
    <xf numFmtId="0" fontId="2" fillId="0" borderId="0" xfId="0" applyFont="1"/>
    <xf numFmtId="165" fontId="0" fillId="0" borderId="5" xfId="1" applyNumberFormat="1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165" fontId="0" fillId="0" borderId="10" xfId="1" applyNumberFormat="1" applyFont="1" applyBorder="1"/>
    <xf numFmtId="43" fontId="0" fillId="0" borderId="5" xfId="1" applyNumberFormat="1" applyFont="1" applyBorder="1"/>
    <xf numFmtId="43" fontId="0" fillId="0" borderId="7" xfId="1" applyNumberFormat="1" applyFont="1" applyBorder="1"/>
    <xf numFmtId="43" fontId="0" fillId="0" borderId="9" xfId="1" applyNumberFormat="1" applyFont="1" applyBorder="1"/>
    <xf numFmtId="43" fontId="0" fillId="0" borderId="2" xfId="1" applyNumberFormat="1" applyFont="1" applyBorder="1"/>
    <xf numFmtId="43" fontId="0" fillId="0" borderId="3" xfId="1" applyNumberFormat="1" applyFont="1" applyBorder="1"/>
    <xf numFmtId="43" fontId="0" fillId="0" borderId="4" xfId="1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098F-E092-4D7D-B03C-466AAF0ED8F4}">
  <dimension ref="A1:C56"/>
  <sheetViews>
    <sheetView topLeftCell="A4" workbookViewId="0">
      <selection activeCell="E19" sqref="E1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1981</v>
      </c>
      <c r="B2">
        <v>1981</v>
      </c>
      <c r="C2">
        <v>5012</v>
      </c>
    </row>
    <row r="3" spans="1:3" x14ac:dyDescent="0.25">
      <c r="A3">
        <v>1981</v>
      </c>
      <c r="B3">
        <v>1982</v>
      </c>
      <c r="C3">
        <v>8269</v>
      </c>
    </row>
    <row r="4" spans="1:3" x14ac:dyDescent="0.25">
      <c r="A4">
        <v>1981</v>
      </c>
      <c r="B4">
        <v>1983</v>
      </c>
      <c r="C4">
        <v>10907</v>
      </c>
    </row>
    <row r="5" spans="1:3" x14ac:dyDescent="0.25">
      <c r="A5">
        <v>1981</v>
      </c>
      <c r="B5">
        <v>1984</v>
      </c>
      <c r="C5">
        <v>11805</v>
      </c>
    </row>
    <row r="6" spans="1:3" x14ac:dyDescent="0.25">
      <c r="A6">
        <v>1981</v>
      </c>
      <c r="B6">
        <v>1985</v>
      </c>
      <c r="C6">
        <v>13539</v>
      </c>
    </row>
    <row r="7" spans="1:3" x14ac:dyDescent="0.25">
      <c r="A7">
        <v>1981</v>
      </c>
      <c r="B7">
        <v>1986</v>
      </c>
      <c r="C7">
        <v>16181</v>
      </c>
    </row>
    <row r="8" spans="1:3" x14ac:dyDescent="0.25">
      <c r="A8">
        <v>1981</v>
      </c>
      <c r="B8">
        <v>1987</v>
      </c>
      <c r="C8">
        <v>18009</v>
      </c>
    </row>
    <row r="9" spans="1:3" x14ac:dyDescent="0.25">
      <c r="A9">
        <v>1981</v>
      </c>
      <c r="B9">
        <v>1988</v>
      </c>
      <c r="C9">
        <v>18608</v>
      </c>
    </row>
    <row r="10" spans="1:3" x14ac:dyDescent="0.25">
      <c r="A10">
        <v>1981</v>
      </c>
      <c r="B10">
        <v>1989</v>
      </c>
      <c r="C10">
        <v>18662</v>
      </c>
    </row>
    <row r="11" spans="1:3" x14ac:dyDescent="0.25">
      <c r="A11">
        <v>1981</v>
      </c>
      <c r="B11">
        <v>1990</v>
      </c>
      <c r="C11">
        <v>18832</v>
      </c>
    </row>
    <row r="12" spans="1:3" x14ac:dyDescent="0.25">
      <c r="A12">
        <v>1982</v>
      </c>
      <c r="B12">
        <v>1982</v>
      </c>
      <c r="C12">
        <v>106</v>
      </c>
    </row>
    <row r="13" spans="1:3" x14ac:dyDescent="0.25">
      <c r="A13">
        <v>1982</v>
      </c>
      <c r="B13">
        <v>1983</v>
      </c>
      <c r="C13">
        <v>4285</v>
      </c>
    </row>
    <row r="14" spans="1:3" x14ac:dyDescent="0.25">
      <c r="A14">
        <v>1982</v>
      </c>
      <c r="B14">
        <v>1984</v>
      </c>
      <c r="C14">
        <v>5396</v>
      </c>
    </row>
    <row r="15" spans="1:3" x14ac:dyDescent="0.25">
      <c r="A15">
        <v>1982</v>
      </c>
      <c r="B15">
        <v>1985</v>
      </c>
      <c r="C15">
        <v>10666</v>
      </c>
    </row>
    <row r="16" spans="1:3" x14ac:dyDescent="0.25">
      <c r="A16">
        <v>1982</v>
      </c>
      <c r="B16">
        <v>1986</v>
      </c>
      <c r="C16">
        <v>13782</v>
      </c>
    </row>
    <row r="17" spans="1:3" x14ac:dyDescent="0.25">
      <c r="A17">
        <v>1982</v>
      </c>
      <c r="B17">
        <v>1987</v>
      </c>
      <c r="C17">
        <v>15599</v>
      </c>
    </row>
    <row r="18" spans="1:3" x14ac:dyDescent="0.25">
      <c r="A18">
        <v>1982</v>
      </c>
      <c r="B18">
        <v>1988</v>
      </c>
      <c r="C18">
        <v>15496</v>
      </c>
    </row>
    <row r="19" spans="1:3" x14ac:dyDescent="0.25">
      <c r="A19">
        <v>1982</v>
      </c>
      <c r="B19">
        <v>1989</v>
      </c>
      <c r="C19">
        <v>16169</v>
      </c>
    </row>
    <row r="20" spans="1:3" x14ac:dyDescent="0.25">
      <c r="A20">
        <v>1982</v>
      </c>
      <c r="B20">
        <v>1990</v>
      </c>
      <c r="C20">
        <v>16704</v>
      </c>
    </row>
    <row r="21" spans="1:3" x14ac:dyDescent="0.25">
      <c r="A21">
        <v>1983</v>
      </c>
      <c r="B21">
        <v>1983</v>
      </c>
      <c r="C21">
        <v>3410</v>
      </c>
    </row>
    <row r="22" spans="1:3" x14ac:dyDescent="0.25">
      <c r="A22">
        <v>1983</v>
      </c>
      <c r="B22">
        <v>1984</v>
      </c>
      <c r="C22">
        <v>8992</v>
      </c>
    </row>
    <row r="23" spans="1:3" x14ac:dyDescent="0.25">
      <c r="A23">
        <v>1983</v>
      </c>
      <c r="B23">
        <v>1985</v>
      </c>
      <c r="C23">
        <v>13873</v>
      </c>
    </row>
    <row r="24" spans="1:3" x14ac:dyDescent="0.25">
      <c r="A24">
        <v>1983</v>
      </c>
      <c r="B24">
        <v>1986</v>
      </c>
      <c r="C24">
        <v>16141</v>
      </c>
    </row>
    <row r="25" spans="1:3" x14ac:dyDescent="0.25">
      <c r="A25">
        <v>1983</v>
      </c>
      <c r="B25">
        <v>1987</v>
      </c>
      <c r="C25">
        <v>18735</v>
      </c>
    </row>
    <row r="26" spans="1:3" x14ac:dyDescent="0.25">
      <c r="A26">
        <v>1983</v>
      </c>
      <c r="B26">
        <v>1988</v>
      </c>
      <c r="C26">
        <v>22214</v>
      </c>
    </row>
    <row r="27" spans="1:3" x14ac:dyDescent="0.25">
      <c r="A27">
        <v>1983</v>
      </c>
      <c r="B27">
        <v>1989</v>
      </c>
      <c r="C27">
        <v>22863</v>
      </c>
    </row>
    <row r="28" spans="1:3" x14ac:dyDescent="0.25">
      <c r="A28">
        <v>1983</v>
      </c>
      <c r="B28">
        <v>1990</v>
      </c>
      <c r="C28">
        <v>23466</v>
      </c>
    </row>
    <row r="29" spans="1:3" x14ac:dyDescent="0.25">
      <c r="A29">
        <v>1984</v>
      </c>
      <c r="B29">
        <v>1984</v>
      </c>
      <c r="C29">
        <v>5655</v>
      </c>
    </row>
    <row r="30" spans="1:3" x14ac:dyDescent="0.25">
      <c r="A30">
        <v>1984</v>
      </c>
      <c r="B30">
        <v>1985</v>
      </c>
      <c r="C30">
        <v>11555</v>
      </c>
    </row>
    <row r="31" spans="1:3" x14ac:dyDescent="0.25">
      <c r="A31">
        <v>1984</v>
      </c>
      <c r="B31">
        <v>1986</v>
      </c>
      <c r="C31">
        <v>15766</v>
      </c>
    </row>
    <row r="32" spans="1:3" x14ac:dyDescent="0.25">
      <c r="A32">
        <v>1984</v>
      </c>
      <c r="B32">
        <v>1987</v>
      </c>
      <c r="C32">
        <v>21166</v>
      </c>
    </row>
    <row r="33" spans="1:3" x14ac:dyDescent="0.25">
      <c r="A33">
        <v>1984</v>
      </c>
      <c r="B33">
        <v>1988</v>
      </c>
      <c r="C33">
        <v>23425</v>
      </c>
    </row>
    <row r="34" spans="1:3" x14ac:dyDescent="0.25">
      <c r="A34">
        <v>1984</v>
      </c>
      <c r="B34">
        <v>1989</v>
      </c>
      <c r="C34">
        <v>26083</v>
      </c>
    </row>
    <row r="35" spans="1:3" x14ac:dyDescent="0.25">
      <c r="A35">
        <v>1984</v>
      </c>
      <c r="B35">
        <v>1990</v>
      </c>
      <c r="C35">
        <v>27067</v>
      </c>
    </row>
    <row r="36" spans="1:3" x14ac:dyDescent="0.25">
      <c r="A36">
        <v>1985</v>
      </c>
      <c r="B36">
        <v>1985</v>
      </c>
      <c r="C36">
        <v>1092</v>
      </c>
    </row>
    <row r="37" spans="1:3" x14ac:dyDescent="0.25">
      <c r="A37">
        <v>1985</v>
      </c>
      <c r="B37">
        <v>1986</v>
      </c>
      <c r="C37">
        <v>9565</v>
      </c>
    </row>
    <row r="38" spans="1:3" x14ac:dyDescent="0.25">
      <c r="A38">
        <v>1985</v>
      </c>
      <c r="B38">
        <v>1987</v>
      </c>
      <c r="C38">
        <v>15836</v>
      </c>
    </row>
    <row r="39" spans="1:3" x14ac:dyDescent="0.25">
      <c r="A39">
        <v>1985</v>
      </c>
      <c r="B39">
        <v>1988</v>
      </c>
      <c r="C39">
        <v>22169</v>
      </c>
    </row>
    <row r="40" spans="1:3" x14ac:dyDescent="0.25">
      <c r="A40">
        <v>1985</v>
      </c>
      <c r="B40">
        <v>1989</v>
      </c>
      <c r="C40">
        <v>25955</v>
      </c>
    </row>
    <row r="41" spans="1:3" x14ac:dyDescent="0.25">
      <c r="A41">
        <v>1985</v>
      </c>
      <c r="B41">
        <v>1990</v>
      </c>
      <c r="C41">
        <v>26180</v>
      </c>
    </row>
    <row r="42" spans="1:3" x14ac:dyDescent="0.25">
      <c r="A42">
        <v>1986</v>
      </c>
      <c r="B42">
        <v>1986</v>
      </c>
      <c r="C42">
        <v>1513</v>
      </c>
    </row>
    <row r="43" spans="1:3" x14ac:dyDescent="0.25">
      <c r="A43">
        <v>1986</v>
      </c>
      <c r="B43">
        <v>1987</v>
      </c>
      <c r="C43">
        <v>6445</v>
      </c>
    </row>
    <row r="44" spans="1:3" x14ac:dyDescent="0.25">
      <c r="A44">
        <v>1986</v>
      </c>
      <c r="B44">
        <v>1988</v>
      </c>
      <c r="C44">
        <v>11702</v>
      </c>
    </row>
    <row r="45" spans="1:3" x14ac:dyDescent="0.25">
      <c r="A45">
        <v>1986</v>
      </c>
      <c r="B45">
        <v>1989</v>
      </c>
      <c r="C45">
        <v>12935</v>
      </c>
    </row>
    <row r="46" spans="1:3" x14ac:dyDescent="0.25">
      <c r="A46">
        <v>1986</v>
      </c>
      <c r="B46">
        <v>1990</v>
      </c>
      <c r="C46">
        <v>15852</v>
      </c>
    </row>
    <row r="47" spans="1:3" x14ac:dyDescent="0.25">
      <c r="A47">
        <v>1987</v>
      </c>
      <c r="B47">
        <v>1987</v>
      </c>
      <c r="C47">
        <v>557</v>
      </c>
    </row>
    <row r="48" spans="1:3" x14ac:dyDescent="0.25">
      <c r="A48">
        <v>1987</v>
      </c>
      <c r="B48">
        <v>1988</v>
      </c>
      <c r="C48">
        <v>4020</v>
      </c>
    </row>
    <row r="49" spans="1:3" x14ac:dyDescent="0.25">
      <c r="A49">
        <v>1987</v>
      </c>
      <c r="B49">
        <v>1989</v>
      </c>
      <c r="C49">
        <v>10946</v>
      </c>
    </row>
    <row r="50" spans="1:3" x14ac:dyDescent="0.25">
      <c r="A50">
        <v>1987</v>
      </c>
      <c r="B50">
        <v>1990</v>
      </c>
      <c r="C50">
        <v>12314</v>
      </c>
    </row>
    <row r="51" spans="1:3" x14ac:dyDescent="0.25">
      <c r="A51">
        <v>1988</v>
      </c>
      <c r="B51">
        <v>1988</v>
      </c>
      <c r="C51">
        <v>1351</v>
      </c>
    </row>
    <row r="52" spans="1:3" x14ac:dyDescent="0.25">
      <c r="A52">
        <v>1988</v>
      </c>
      <c r="B52">
        <v>1989</v>
      </c>
      <c r="C52">
        <v>6947</v>
      </c>
    </row>
    <row r="53" spans="1:3" x14ac:dyDescent="0.25">
      <c r="A53">
        <v>1988</v>
      </c>
      <c r="B53">
        <v>1990</v>
      </c>
      <c r="C53">
        <v>13112</v>
      </c>
    </row>
    <row r="54" spans="1:3" x14ac:dyDescent="0.25">
      <c r="A54">
        <v>1989</v>
      </c>
      <c r="B54">
        <v>1989</v>
      </c>
      <c r="C54">
        <v>3133</v>
      </c>
    </row>
    <row r="55" spans="1:3" x14ac:dyDescent="0.25">
      <c r="A55">
        <v>1989</v>
      </c>
      <c r="B55">
        <v>1990</v>
      </c>
      <c r="C55">
        <v>5395</v>
      </c>
    </row>
    <row r="56" spans="1:3" x14ac:dyDescent="0.25">
      <c r="A56">
        <v>1990</v>
      </c>
      <c r="B56">
        <v>1990</v>
      </c>
      <c r="C56">
        <v>2063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8F7C-A715-4FC4-BF8D-6B208B9FD00E}">
  <dimension ref="B2:L41"/>
  <sheetViews>
    <sheetView showGridLines="0" tabSelected="1" workbookViewId="0">
      <selection activeCell="K35" sqref="K35"/>
    </sheetView>
  </sheetViews>
  <sheetFormatPr baseColWidth="10" defaultRowHeight="15" x14ac:dyDescent="0.25"/>
  <cols>
    <col min="2" max="2" width="11.28515625" bestFit="1" customWidth="1"/>
  </cols>
  <sheetData>
    <row r="2" spans="2:12" s="6" customFormat="1" x14ac:dyDescent="0.25">
      <c r="B2" s="5" t="s">
        <v>8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25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</row>
    <row r="4" spans="2:12" x14ac:dyDescent="0.25">
      <c r="B4">
        <v>1981</v>
      </c>
      <c r="C4">
        <v>5012</v>
      </c>
      <c r="D4">
        <v>8269</v>
      </c>
      <c r="E4">
        <v>10907</v>
      </c>
      <c r="F4">
        <v>11805</v>
      </c>
      <c r="G4">
        <v>13539</v>
      </c>
      <c r="H4">
        <v>16181</v>
      </c>
      <c r="I4">
        <v>18009</v>
      </c>
      <c r="J4">
        <v>18608</v>
      </c>
      <c r="K4">
        <v>18662</v>
      </c>
      <c r="L4">
        <v>18832</v>
      </c>
    </row>
    <row r="5" spans="2:12" x14ac:dyDescent="0.25">
      <c r="B5">
        <v>1982</v>
      </c>
      <c r="C5">
        <v>106</v>
      </c>
      <c r="D5">
        <v>4285</v>
      </c>
      <c r="E5">
        <v>5396</v>
      </c>
      <c r="F5">
        <v>10666</v>
      </c>
      <c r="G5">
        <v>13782</v>
      </c>
      <c r="H5">
        <v>15599</v>
      </c>
      <c r="I5">
        <v>15496</v>
      </c>
      <c r="J5">
        <v>16169</v>
      </c>
      <c r="K5">
        <v>16704</v>
      </c>
    </row>
    <row r="6" spans="2:12" x14ac:dyDescent="0.25">
      <c r="B6">
        <v>1983</v>
      </c>
      <c r="C6">
        <v>3410</v>
      </c>
      <c r="D6">
        <v>8992</v>
      </c>
      <c r="E6">
        <v>13873</v>
      </c>
      <c r="F6">
        <v>16141</v>
      </c>
      <c r="G6">
        <v>18735</v>
      </c>
      <c r="H6">
        <v>22214</v>
      </c>
      <c r="I6">
        <v>22863</v>
      </c>
      <c r="J6">
        <v>23466</v>
      </c>
    </row>
    <row r="7" spans="2:12" x14ac:dyDescent="0.25">
      <c r="B7">
        <v>1984</v>
      </c>
      <c r="C7">
        <v>5655</v>
      </c>
      <c r="D7">
        <v>11555</v>
      </c>
      <c r="E7">
        <v>15766</v>
      </c>
      <c r="F7">
        <v>21166</v>
      </c>
      <c r="G7">
        <v>23425</v>
      </c>
      <c r="H7">
        <v>26083</v>
      </c>
      <c r="I7">
        <v>27067</v>
      </c>
    </row>
    <row r="8" spans="2:12" x14ac:dyDescent="0.25">
      <c r="B8">
        <v>1985</v>
      </c>
      <c r="C8">
        <v>1092</v>
      </c>
      <c r="D8">
        <v>9565</v>
      </c>
      <c r="E8">
        <v>15836</v>
      </c>
      <c r="F8">
        <v>22169</v>
      </c>
      <c r="G8">
        <v>25955</v>
      </c>
      <c r="H8">
        <v>26180</v>
      </c>
    </row>
    <row r="9" spans="2:12" x14ac:dyDescent="0.25">
      <c r="B9">
        <v>1986</v>
      </c>
      <c r="C9">
        <v>1513</v>
      </c>
      <c r="D9">
        <v>6445</v>
      </c>
      <c r="E9">
        <v>11702</v>
      </c>
      <c r="F9">
        <v>12935</v>
      </c>
      <c r="G9">
        <v>15852</v>
      </c>
    </row>
    <row r="10" spans="2:12" x14ac:dyDescent="0.25">
      <c r="B10">
        <v>1987</v>
      </c>
      <c r="C10">
        <v>557</v>
      </c>
      <c r="D10">
        <v>4020</v>
      </c>
      <c r="E10">
        <v>10946</v>
      </c>
      <c r="F10">
        <v>12314</v>
      </c>
    </row>
    <row r="11" spans="2:12" x14ac:dyDescent="0.25">
      <c r="B11">
        <v>1988</v>
      </c>
      <c r="C11">
        <v>1351</v>
      </c>
      <c r="D11">
        <v>6947</v>
      </c>
      <c r="E11">
        <v>13112</v>
      </c>
    </row>
    <row r="12" spans="2:12" x14ac:dyDescent="0.25">
      <c r="B12">
        <v>1989</v>
      </c>
      <c r="C12">
        <v>3133</v>
      </c>
      <c r="D12">
        <v>5395</v>
      </c>
    </row>
    <row r="13" spans="2:12" x14ac:dyDescent="0.25">
      <c r="B13">
        <v>1990</v>
      </c>
      <c r="C13">
        <v>2063</v>
      </c>
    </row>
    <row r="15" spans="2:12" s="6" customFormat="1" x14ac:dyDescent="0.25">
      <c r="B15" s="5" t="s">
        <v>9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2:12" x14ac:dyDescent="0.25"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  <c r="I16">
        <v>7</v>
      </c>
      <c r="J16">
        <v>8</v>
      </c>
      <c r="K16">
        <v>9</v>
      </c>
      <c r="L16">
        <v>10</v>
      </c>
    </row>
    <row r="17" spans="2:12" x14ac:dyDescent="0.25">
      <c r="B17">
        <v>1981</v>
      </c>
      <c r="C17">
        <f>C4</f>
        <v>5012</v>
      </c>
      <c r="D17">
        <f>+C17+D4</f>
        <v>13281</v>
      </c>
      <c r="E17">
        <f t="shared" ref="E17:L17" si="0">+D17+E4</f>
        <v>24188</v>
      </c>
      <c r="F17">
        <f t="shared" si="0"/>
        <v>35993</v>
      </c>
      <c r="G17">
        <f t="shared" si="0"/>
        <v>49532</v>
      </c>
      <c r="H17">
        <f t="shared" si="0"/>
        <v>65713</v>
      </c>
      <c r="I17">
        <f t="shared" si="0"/>
        <v>83722</v>
      </c>
      <c r="J17">
        <f t="shared" si="0"/>
        <v>102330</v>
      </c>
      <c r="K17">
        <f t="shared" si="0"/>
        <v>120992</v>
      </c>
      <c r="L17" s="1">
        <f t="shared" si="0"/>
        <v>139824</v>
      </c>
    </row>
    <row r="18" spans="2:12" x14ac:dyDescent="0.25">
      <c r="B18">
        <v>1982</v>
      </c>
      <c r="C18">
        <f t="shared" ref="C18:C26" si="1">C5</f>
        <v>106</v>
      </c>
      <c r="D18">
        <f t="shared" ref="D18:K25" si="2">+C18+D5</f>
        <v>4391</v>
      </c>
      <c r="E18">
        <f t="shared" si="2"/>
        <v>9787</v>
      </c>
      <c r="F18">
        <f t="shared" si="2"/>
        <v>20453</v>
      </c>
      <c r="G18">
        <f t="shared" si="2"/>
        <v>34235</v>
      </c>
      <c r="H18">
        <f t="shared" si="2"/>
        <v>49834</v>
      </c>
      <c r="I18">
        <f t="shared" si="2"/>
        <v>65330</v>
      </c>
      <c r="J18">
        <f t="shared" si="2"/>
        <v>81499</v>
      </c>
      <c r="K18" s="1">
        <f t="shared" si="2"/>
        <v>98203</v>
      </c>
      <c r="L18" s="2"/>
    </row>
    <row r="19" spans="2:12" x14ac:dyDescent="0.25">
      <c r="B19">
        <v>1983</v>
      </c>
      <c r="C19">
        <f t="shared" si="1"/>
        <v>3410</v>
      </c>
      <c r="D19">
        <f t="shared" si="2"/>
        <v>12402</v>
      </c>
      <c r="E19">
        <f t="shared" si="2"/>
        <v>26275</v>
      </c>
      <c r="F19">
        <f t="shared" si="2"/>
        <v>42416</v>
      </c>
      <c r="G19">
        <f t="shared" si="2"/>
        <v>61151</v>
      </c>
      <c r="H19">
        <f t="shared" si="2"/>
        <v>83365</v>
      </c>
      <c r="I19">
        <f t="shared" si="2"/>
        <v>106228</v>
      </c>
      <c r="J19">
        <f t="shared" si="2"/>
        <v>129694</v>
      </c>
      <c r="K19" s="2"/>
      <c r="L19" s="2"/>
    </row>
    <row r="20" spans="2:12" x14ac:dyDescent="0.25">
      <c r="B20">
        <v>1984</v>
      </c>
      <c r="C20">
        <f t="shared" si="1"/>
        <v>5655</v>
      </c>
      <c r="D20">
        <f t="shared" si="2"/>
        <v>17210</v>
      </c>
      <c r="E20">
        <f t="shared" si="2"/>
        <v>32976</v>
      </c>
      <c r="F20">
        <f t="shared" si="2"/>
        <v>54142</v>
      </c>
      <c r="G20">
        <f t="shared" si="2"/>
        <v>77567</v>
      </c>
      <c r="H20">
        <f t="shared" si="2"/>
        <v>103650</v>
      </c>
      <c r="I20">
        <f t="shared" si="2"/>
        <v>130717</v>
      </c>
      <c r="J20" s="2"/>
      <c r="K20" s="2"/>
      <c r="L20" s="2"/>
    </row>
    <row r="21" spans="2:12" x14ac:dyDescent="0.25">
      <c r="B21">
        <v>1985</v>
      </c>
      <c r="C21">
        <f t="shared" si="1"/>
        <v>1092</v>
      </c>
      <c r="D21">
        <f t="shared" si="2"/>
        <v>10657</v>
      </c>
      <c r="E21">
        <f t="shared" si="2"/>
        <v>26493</v>
      </c>
      <c r="F21">
        <f t="shared" si="2"/>
        <v>48662</v>
      </c>
      <c r="G21">
        <f t="shared" si="2"/>
        <v>74617</v>
      </c>
      <c r="H21">
        <f t="shared" si="2"/>
        <v>100797</v>
      </c>
      <c r="I21" s="2"/>
      <c r="J21" s="2"/>
      <c r="K21" s="2"/>
      <c r="L21" s="2"/>
    </row>
    <row r="22" spans="2:12" x14ac:dyDescent="0.25">
      <c r="B22">
        <v>1986</v>
      </c>
      <c r="C22">
        <f t="shared" si="1"/>
        <v>1513</v>
      </c>
      <c r="D22">
        <f t="shared" si="2"/>
        <v>7958</v>
      </c>
      <c r="E22">
        <f t="shared" si="2"/>
        <v>19660</v>
      </c>
      <c r="F22">
        <f t="shared" si="2"/>
        <v>32595</v>
      </c>
      <c r="G22">
        <f t="shared" si="2"/>
        <v>48447</v>
      </c>
      <c r="H22" s="2"/>
      <c r="I22" s="2"/>
      <c r="J22" s="2"/>
      <c r="K22" s="2"/>
      <c r="L22" s="2"/>
    </row>
    <row r="23" spans="2:12" x14ac:dyDescent="0.25">
      <c r="B23">
        <v>1987</v>
      </c>
      <c r="C23">
        <f t="shared" si="1"/>
        <v>557</v>
      </c>
      <c r="D23">
        <f t="shared" si="2"/>
        <v>4577</v>
      </c>
      <c r="E23">
        <f t="shared" si="2"/>
        <v>15523</v>
      </c>
      <c r="F23">
        <f t="shared" si="2"/>
        <v>27837</v>
      </c>
      <c r="G23" s="2"/>
      <c r="H23" s="2"/>
      <c r="I23" s="2"/>
      <c r="J23" s="2"/>
      <c r="K23" s="2"/>
      <c r="L23" s="2"/>
    </row>
    <row r="24" spans="2:12" x14ac:dyDescent="0.25">
      <c r="B24">
        <v>1988</v>
      </c>
      <c r="C24">
        <f t="shared" si="1"/>
        <v>1351</v>
      </c>
      <c r="D24">
        <f>+C24+D11</f>
        <v>8298</v>
      </c>
      <c r="E24">
        <f>+D24+E11</f>
        <v>21410</v>
      </c>
      <c r="F24" s="2"/>
      <c r="G24" s="2"/>
      <c r="H24" s="2"/>
      <c r="I24" s="2"/>
      <c r="J24" s="2"/>
      <c r="K24" s="2"/>
      <c r="L24" s="2"/>
    </row>
    <row r="25" spans="2:12" x14ac:dyDescent="0.25">
      <c r="B25">
        <v>1989</v>
      </c>
      <c r="C25">
        <f t="shared" si="1"/>
        <v>3133</v>
      </c>
      <c r="D25">
        <f t="shared" si="2"/>
        <v>8528</v>
      </c>
      <c r="E25" s="2"/>
      <c r="F25" s="2"/>
      <c r="G25" s="2"/>
      <c r="H25" s="2"/>
      <c r="I25" s="2"/>
      <c r="J25" s="2"/>
      <c r="K25" s="2"/>
      <c r="L25" s="2"/>
    </row>
    <row r="26" spans="2:12" x14ac:dyDescent="0.25">
      <c r="B26">
        <v>1990</v>
      </c>
      <c r="C26" s="3">
        <f t="shared" si="1"/>
        <v>2063</v>
      </c>
      <c r="D26" s="4"/>
      <c r="E26" s="4"/>
      <c r="F26" s="4"/>
      <c r="G26" s="4"/>
      <c r="H26" s="4"/>
      <c r="I26" s="4"/>
      <c r="J26" s="4"/>
      <c r="K26" s="4"/>
      <c r="L26" s="4"/>
    </row>
    <row r="28" spans="2:12" s="6" customFormat="1" x14ac:dyDescent="0.25">
      <c r="B28" s="6" t="s">
        <v>10</v>
      </c>
      <c r="C28" s="6">
        <f>+SUM(D17:D25)/SUM(C17:C25)</f>
        <v>3.9993586513353794</v>
      </c>
      <c r="D28" s="6">
        <f>+SUM(E17:E24)/SUM(D17:D24)</f>
        <v>2.2382004214588571</v>
      </c>
      <c r="E28" s="6">
        <f>+SUM(F17:F23)/SUM(E17:E23)</f>
        <v>1.6920246349304722</v>
      </c>
      <c r="F28" s="6">
        <f>+SUM(G17:G22)/SUM(F17:F22)</f>
        <v>1.47505986912034</v>
      </c>
      <c r="G28" s="6">
        <f>+SUM(H17:H21)/SUM(G17:G21)</f>
        <v>1.3576448492436941</v>
      </c>
      <c r="H28" s="6">
        <f>+SUM(I17:I20)/SUM(H17:H20)</f>
        <v>1.2757616620725669</v>
      </c>
      <c r="I28" s="6">
        <f>+SUM(J17:J19)/SUM(I17:I19)</f>
        <v>1.2281534001880288</v>
      </c>
      <c r="J28" s="6">
        <f>+SUM(K17:K18)/SUM(J17:J18)</f>
        <v>1.1923853146130372</v>
      </c>
      <c r="K28" s="6">
        <f>+SUM(L17)/SUM(K17)</f>
        <v>1.155646654324253</v>
      </c>
      <c r="L28" s="6">
        <v>1</v>
      </c>
    </row>
    <row r="29" spans="2:12" s="6" customFormat="1" x14ac:dyDescent="0.25">
      <c r="B29" s="6" t="s">
        <v>11</v>
      </c>
      <c r="C29" s="6">
        <f t="shared" ref="C29:J29" si="3">C28*D29</f>
        <v>65.487087828558032</v>
      </c>
      <c r="D29" s="6">
        <f t="shared" si="3"/>
        <v>16.374397381613175</v>
      </c>
      <c r="E29" s="6">
        <f t="shared" si="3"/>
        <v>7.3158762837424351</v>
      </c>
      <c r="F29" s="6">
        <f t="shared" si="3"/>
        <v>4.3237409980399342</v>
      </c>
      <c r="G29" s="6">
        <f t="shared" si="3"/>
        <v>2.9312308527642479</v>
      </c>
      <c r="H29" s="6">
        <f t="shared" si="3"/>
        <v>2.1590557017891348</v>
      </c>
      <c r="I29" s="6">
        <f t="shared" si="3"/>
        <v>1.6923660319762179</v>
      </c>
      <c r="J29" s="6">
        <f t="shared" si="3"/>
        <v>1.3779760994979282</v>
      </c>
      <c r="K29" s="6">
        <f>K28*L29</f>
        <v>1.155646654324253</v>
      </c>
      <c r="L29" s="6">
        <f>L28</f>
        <v>1</v>
      </c>
    </row>
    <row r="31" spans="2:12" x14ac:dyDescent="0.25">
      <c r="E31" s="19" t="s">
        <v>3</v>
      </c>
      <c r="F31" s="19" t="s">
        <v>4</v>
      </c>
      <c r="G31" s="19" t="s">
        <v>5</v>
      </c>
      <c r="H31" s="19" t="s">
        <v>6</v>
      </c>
      <c r="I31" s="19" t="s">
        <v>7</v>
      </c>
    </row>
    <row r="32" spans="2:12" x14ac:dyDescent="0.25">
      <c r="D32" s="20">
        <v>1981</v>
      </c>
      <c r="E32" s="7">
        <f>+L17</f>
        <v>139824</v>
      </c>
      <c r="F32" s="13">
        <f>+L28</f>
        <v>1</v>
      </c>
      <c r="G32" s="16">
        <f>F32</f>
        <v>1</v>
      </c>
      <c r="H32" s="8">
        <f>E32*G32</f>
        <v>139824</v>
      </c>
      <c r="I32" s="8">
        <f>+H32-E32</f>
        <v>0</v>
      </c>
    </row>
    <row r="33" spans="4:9" x14ac:dyDescent="0.25">
      <c r="D33" s="21">
        <v>1982</v>
      </c>
      <c r="E33" s="9">
        <f>+K18</f>
        <v>98203</v>
      </c>
      <c r="F33" s="14">
        <f>+K28</f>
        <v>1.155646654324253</v>
      </c>
      <c r="G33" s="17">
        <f>+G32*F33</f>
        <v>1.155646654324253</v>
      </c>
      <c r="H33" s="10">
        <f t="shared" ref="H33:H41" si="4">E33*G33</f>
        <v>113487.96839460461</v>
      </c>
      <c r="I33" s="10">
        <f t="shared" ref="I33:I41" si="5">+H33-E33</f>
        <v>15284.968394604613</v>
      </c>
    </row>
    <row r="34" spans="4:9" x14ac:dyDescent="0.25">
      <c r="D34" s="21">
        <v>1983</v>
      </c>
      <c r="E34" s="9">
        <f>+J19</f>
        <v>129694</v>
      </c>
      <c r="F34" s="14">
        <f>J28</f>
        <v>1.1923853146130372</v>
      </c>
      <c r="G34" s="17">
        <f>+G33*F34</f>
        <v>1.3779760994979282</v>
      </c>
      <c r="H34" s="10">
        <f t="shared" si="4"/>
        <v>178715.2322482843</v>
      </c>
      <c r="I34" s="10">
        <f t="shared" si="5"/>
        <v>49021.232248284301</v>
      </c>
    </row>
    <row r="35" spans="4:9" x14ac:dyDescent="0.25">
      <c r="D35" s="21">
        <v>1984</v>
      </c>
      <c r="E35" s="9">
        <f>+I20</f>
        <v>130717</v>
      </c>
      <c r="F35" s="14">
        <f>+I28</f>
        <v>1.2281534001880288</v>
      </c>
      <c r="G35" s="17">
        <f t="shared" ref="G35:G41" si="6">+G34*F35</f>
        <v>1.6923660319762179</v>
      </c>
      <c r="H35" s="10">
        <f t="shared" si="4"/>
        <v>221221.01060183527</v>
      </c>
      <c r="I35" s="10">
        <f t="shared" si="5"/>
        <v>90504.010601835267</v>
      </c>
    </row>
    <row r="36" spans="4:9" x14ac:dyDescent="0.25">
      <c r="D36" s="21">
        <v>1985</v>
      </c>
      <c r="E36" s="9">
        <f>+H21</f>
        <v>100797</v>
      </c>
      <c r="F36" s="14">
        <f>H28</f>
        <v>1.2757616620725669</v>
      </c>
      <c r="G36" s="17">
        <f t="shared" si="6"/>
        <v>2.1590557017891348</v>
      </c>
      <c r="H36" s="10">
        <f t="shared" si="4"/>
        <v>217626.33757323941</v>
      </c>
      <c r="I36" s="10">
        <f t="shared" si="5"/>
        <v>116829.33757323941</v>
      </c>
    </row>
    <row r="37" spans="4:9" x14ac:dyDescent="0.25">
      <c r="D37" s="21">
        <v>1986</v>
      </c>
      <c r="E37" s="9">
        <f>+G22</f>
        <v>48447</v>
      </c>
      <c r="F37" s="14">
        <f>+G28</f>
        <v>1.3576448492436941</v>
      </c>
      <c r="G37" s="17">
        <f t="shared" si="6"/>
        <v>2.9312308527642479</v>
      </c>
      <c r="H37" s="10">
        <f t="shared" si="4"/>
        <v>142009.34112386953</v>
      </c>
      <c r="I37" s="10">
        <f t="shared" si="5"/>
        <v>93562.341123869526</v>
      </c>
    </row>
    <row r="38" spans="4:9" x14ac:dyDescent="0.25">
      <c r="D38" s="21">
        <v>1987</v>
      </c>
      <c r="E38" s="9">
        <f>+F23</f>
        <v>27837</v>
      </c>
      <c r="F38" s="14">
        <f>F28</f>
        <v>1.47505986912034</v>
      </c>
      <c r="G38" s="17">
        <f t="shared" si="6"/>
        <v>4.3237409980399342</v>
      </c>
      <c r="H38" s="10">
        <f t="shared" si="4"/>
        <v>120359.97816243765</v>
      </c>
      <c r="I38" s="10">
        <f t="shared" si="5"/>
        <v>92522.978162437648</v>
      </c>
    </row>
    <row r="39" spans="4:9" x14ac:dyDescent="0.25">
      <c r="D39" s="21">
        <v>1988</v>
      </c>
      <c r="E39" s="9">
        <f>+E24</f>
        <v>21410</v>
      </c>
      <c r="F39" s="14">
        <f>E28</f>
        <v>1.6920246349304722</v>
      </c>
      <c r="G39" s="17">
        <f t="shared" si="6"/>
        <v>7.3158762837424351</v>
      </c>
      <c r="H39" s="10">
        <f t="shared" si="4"/>
        <v>156632.91123492553</v>
      </c>
      <c r="I39" s="10">
        <f t="shared" si="5"/>
        <v>135222.91123492553</v>
      </c>
    </row>
    <row r="40" spans="4:9" x14ac:dyDescent="0.25">
      <c r="D40" s="21">
        <v>1989</v>
      </c>
      <c r="E40" s="9">
        <f>+D25</f>
        <v>8528</v>
      </c>
      <c r="F40" s="14">
        <f>D28</f>
        <v>2.2382004214588571</v>
      </c>
      <c r="G40" s="17">
        <f t="shared" si="6"/>
        <v>16.374397381613175</v>
      </c>
      <c r="H40" s="10">
        <f t="shared" si="4"/>
        <v>139640.86087039715</v>
      </c>
      <c r="I40" s="10">
        <f t="shared" si="5"/>
        <v>131112.86087039715</v>
      </c>
    </row>
    <row r="41" spans="4:9" x14ac:dyDescent="0.25">
      <c r="D41" s="22">
        <v>1990</v>
      </c>
      <c r="E41" s="11">
        <f>+C26</f>
        <v>2063</v>
      </c>
      <c r="F41" s="15">
        <f>+C28</f>
        <v>3.9993586513353794</v>
      </c>
      <c r="G41" s="18">
        <f t="shared" si="6"/>
        <v>65.487087828558032</v>
      </c>
      <c r="H41" s="12">
        <f t="shared" si="4"/>
        <v>135099.86219031521</v>
      </c>
      <c r="I41" s="12">
        <f t="shared" si="5"/>
        <v>133036.86219031521</v>
      </c>
    </row>
  </sheetData>
  <mergeCells count="2">
    <mergeCell ref="B2:L2"/>
    <mergeCell ref="B15:L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Triangulo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</dc:creator>
  <cp:lastModifiedBy>Andres Felipe Florido Alvarado</cp:lastModifiedBy>
  <dcterms:created xsi:type="dcterms:W3CDTF">2023-11-22T00:55:19Z</dcterms:created>
  <dcterms:modified xsi:type="dcterms:W3CDTF">2023-11-22T04:07:29Z</dcterms:modified>
</cp:coreProperties>
</file>